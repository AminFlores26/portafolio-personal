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Amin\Downloads\"/>
    </mc:Choice>
  </mc:AlternateContent>
  <xr:revisionPtr revIDLastSave="0" documentId="13_ncr:1_{1E9DECF6-159A-40B3-834E-820C5F429E98}" xr6:coauthVersionLast="47" xr6:coauthVersionMax="47" xr10:uidLastSave="{00000000-0000-0000-0000-000000000000}"/>
  <bookViews>
    <workbookView xWindow="-120" yWindow="-120" windowWidth="19440" windowHeight="15000" activeTab="3" xr2:uid="{00000000-000D-0000-FFFF-FFFF00000000}"/>
  </bookViews>
  <sheets>
    <sheet name="control" sheetId="1" r:id="rId1"/>
    <sheet name="clientes" sheetId="2" r:id="rId2"/>
    <sheet name="proveedor" sheetId="3" r:id="rId3"/>
    <sheet name="factura" sheetId="4" r:id="rId4"/>
  </sheets>
  <definedNames>
    <definedName name="cl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4" l="1"/>
  <c r="F17" i="4" s="1"/>
  <c r="D18" i="4"/>
  <c r="F18" i="4" s="1"/>
  <c r="D19" i="4"/>
  <c r="D20" i="4"/>
  <c r="D21" i="4"/>
  <c r="F19" i="4"/>
  <c r="F20" i="4"/>
  <c r="F21" i="4"/>
  <c r="C15" i="4"/>
  <c r="C16" i="4"/>
  <c r="C17" i="4"/>
  <c r="C18" i="4"/>
  <c r="C19" i="4"/>
  <c r="C20" i="4"/>
  <c r="C21" i="4"/>
  <c r="C14" i="4"/>
  <c r="E7" i="4"/>
  <c r="C10" i="4"/>
  <c r="C11" i="4"/>
  <c r="C9" i="4"/>
  <c r="C8" i="4"/>
  <c r="I4" i="1"/>
  <c r="I5" i="1"/>
  <c r="D14" i="4" s="1"/>
  <c r="F14" i="4" s="1"/>
  <c r="I6" i="1"/>
  <c r="D15" i="4" s="1"/>
  <c r="F15" i="4" s="1"/>
  <c r="I7" i="1"/>
  <c r="I8" i="1"/>
  <c r="I9" i="1"/>
  <c r="D16" i="4" s="1"/>
  <c r="F16" i="4" s="1"/>
  <c r="I10" i="1"/>
  <c r="I11" i="1"/>
  <c r="I12" i="1"/>
  <c r="I3" i="1"/>
  <c r="F22" i="4" l="1"/>
  <c r="F24" i="4" s="1"/>
  <c r="F23" i="4" l="1"/>
  <c r="F25" i="4" s="1"/>
</calcChain>
</file>

<file path=xl/sharedStrings.xml><?xml version="1.0" encoding="utf-8"?>
<sst xmlns="http://schemas.openxmlformats.org/spreadsheetml/2006/main" count="262" uniqueCount="216">
  <si>
    <t>LISTA DE CONTROL</t>
  </si>
  <si>
    <t>codigo</t>
  </si>
  <si>
    <t>Nombre</t>
  </si>
  <si>
    <t>Marca</t>
  </si>
  <si>
    <t>Descrip</t>
  </si>
  <si>
    <t>Origen</t>
  </si>
  <si>
    <t>Ubicacion</t>
  </si>
  <si>
    <t>Categ</t>
  </si>
  <si>
    <t>Costo</t>
  </si>
  <si>
    <t>Precio Unit</t>
  </si>
  <si>
    <t>Descuento</t>
  </si>
  <si>
    <t>FA001</t>
  </si>
  <si>
    <t>Paracetamol 500 mg</t>
  </si>
  <si>
    <t>Genérico</t>
  </si>
  <si>
    <t>Tabletas analgésicas y antipiréticas</t>
  </si>
  <si>
    <t>Ecuador</t>
  </si>
  <si>
    <t>Estante A1</t>
  </si>
  <si>
    <t>Medicamento</t>
  </si>
  <si>
    <t>FA002</t>
  </si>
  <si>
    <t>Ibuprofeno 400 mg</t>
  </si>
  <si>
    <t>Bayer</t>
  </si>
  <si>
    <t>Antiinflamatorio y analgésico</t>
  </si>
  <si>
    <t>Alemania</t>
  </si>
  <si>
    <t>Estante A2</t>
  </si>
  <si>
    <t>FA003</t>
  </si>
  <si>
    <t>Omeprazol 20 mg</t>
  </si>
  <si>
    <t>Medifarma</t>
  </si>
  <si>
    <t>Cápsulas para acidez y gastritis</t>
  </si>
  <si>
    <t>Perú</t>
  </si>
  <si>
    <t>Estante B1</t>
  </si>
  <si>
    <t>FA004</t>
  </si>
  <si>
    <t>Suero Oral 500 ml</t>
  </si>
  <si>
    <t>Electrolit</t>
  </si>
  <si>
    <t>Solución rehidratante oral</t>
  </si>
  <si>
    <t>México</t>
  </si>
  <si>
    <t>Estante C3</t>
  </si>
  <si>
    <t>Hidratación</t>
  </si>
  <si>
    <t>FA005</t>
  </si>
  <si>
    <t>Alcohol Antiséptico 70% 500 ml</t>
  </si>
  <si>
    <t>Farmaclear</t>
  </si>
  <si>
    <t>Desinfectante de uso externo</t>
  </si>
  <si>
    <t>Estante D2</t>
  </si>
  <si>
    <t>Higiene</t>
  </si>
  <si>
    <t>FA006</t>
  </si>
  <si>
    <t>Termómetro Digital</t>
  </si>
  <si>
    <t>Omron</t>
  </si>
  <si>
    <t>Termómetro clínico de precisión</t>
  </si>
  <si>
    <t>Japón</t>
  </si>
  <si>
    <t>Vitrina E1</t>
  </si>
  <si>
    <t>Equipos médicos</t>
  </si>
  <si>
    <t>FA007</t>
  </si>
  <si>
    <t>Mascarilla KN95</t>
  </si>
  <si>
    <t>3M</t>
  </si>
  <si>
    <t>Mascarilla de 5 capas con filtro</t>
  </si>
  <si>
    <t>China</t>
  </si>
  <si>
    <t>Estante F2</t>
  </si>
  <si>
    <t>Protección</t>
  </si>
  <si>
    <t>FA008</t>
  </si>
  <si>
    <t>Jarabe para la Tos 120 ml</t>
  </si>
  <si>
    <t>Vick</t>
  </si>
  <si>
    <t>Expectorante con miel y mentol</t>
  </si>
  <si>
    <t>Estante B3</t>
  </si>
  <si>
    <t>FA009</t>
  </si>
  <si>
    <t>Crema Antibiótica 15 g</t>
  </si>
  <si>
    <t>Neosporin</t>
  </si>
  <si>
    <t>Pomada para heridas leves</t>
  </si>
  <si>
    <t>EE. UU.</t>
  </si>
  <si>
    <t>Estante C1</t>
  </si>
  <si>
    <t>Cuidado de la piel</t>
  </si>
  <si>
    <t>FA010</t>
  </si>
  <si>
    <t>Multivitamínico 30 cápsulas</t>
  </si>
  <si>
    <t>Centrum</t>
  </si>
  <si>
    <t>Suplemento diario de vitaminas</t>
  </si>
  <si>
    <t>Estante D1</t>
  </si>
  <si>
    <t>Suplemento</t>
  </si>
  <si>
    <t>CLIENTES</t>
  </si>
  <si>
    <t>cedula</t>
  </si>
  <si>
    <t>Nombre y Apellido</t>
  </si>
  <si>
    <t>edad</t>
  </si>
  <si>
    <t>sexo</t>
  </si>
  <si>
    <t>Telefono</t>
  </si>
  <si>
    <t>Direccion</t>
  </si>
  <si>
    <t>Ciudad</t>
  </si>
  <si>
    <t>Correo</t>
  </si>
  <si>
    <t>0959096355</t>
  </si>
  <si>
    <t>Allan Junco</t>
  </si>
  <si>
    <t>36</t>
  </si>
  <si>
    <t>M</t>
  </si>
  <si>
    <t>0985256698</t>
  </si>
  <si>
    <t>Av. 25 de julio</t>
  </si>
  <si>
    <t>Guayaquil</t>
  </si>
  <si>
    <t>allan.junco@gmail.com</t>
  </si>
  <si>
    <t>0959096356</t>
  </si>
  <si>
    <t>Elian Olivo</t>
  </si>
  <si>
    <t>29</t>
  </si>
  <si>
    <t>0985256699</t>
  </si>
  <si>
    <t>Via Daule KM 11,5</t>
  </si>
  <si>
    <t>e.olivo@empresa.com</t>
  </si>
  <si>
    <t>0959096357</t>
  </si>
  <si>
    <t>Maria Zamora</t>
  </si>
  <si>
    <t>26</t>
  </si>
  <si>
    <t>F</t>
  </si>
  <si>
    <t>0985256700</t>
  </si>
  <si>
    <t>Garzota</t>
  </si>
  <si>
    <t>maria.zamora@gmail.com</t>
  </si>
  <si>
    <t>0959096358</t>
  </si>
  <si>
    <t>Sonia Martinez</t>
  </si>
  <si>
    <t>32</t>
  </si>
  <si>
    <t>0985256701</t>
  </si>
  <si>
    <t>sonia.martinez@empresa.com</t>
  </si>
  <si>
    <t>0959096359</t>
  </si>
  <si>
    <t>Sara Tenemaza</t>
  </si>
  <si>
    <t>19</t>
  </si>
  <si>
    <t>0985256702</t>
  </si>
  <si>
    <t>x.tenemaza@empresa.com</t>
  </si>
  <si>
    <t>0959096360</t>
  </si>
  <si>
    <t>Marcos Diaz</t>
  </si>
  <si>
    <t>28</t>
  </si>
  <si>
    <t>0985256703</t>
  </si>
  <si>
    <t>Alborada</t>
  </si>
  <si>
    <t>m.diaz@empresa.com</t>
  </si>
  <si>
    <t>0959096361</t>
  </si>
  <si>
    <t>Julio Vera</t>
  </si>
  <si>
    <t>40</t>
  </si>
  <si>
    <t>0985256704</t>
  </si>
  <si>
    <t>vera@empresa.com</t>
  </si>
  <si>
    <t>Proveedores</t>
  </si>
  <si>
    <t>Codigo</t>
  </si>
  <si>
    <t>Contacto</t>
  </si>
  <si>
    <t>Tipo</t>
  </si>
  <si>
    <t>P01</t>
  </si>
  <si>
    <t>Papelera S.A.</t>
  </si>
  <si>
    <t>Ana Vega</t>
  </si>
  <si>
    <t>0985115052</t>
  </si>
  <si>
    <t>an.vega@papel.com</t>
  </si>
  <si>
    <t>Producto</t>
  </si>
  <si>
    <t>P02</t>
  </si>
  <si>
    <t>Suministro medico</t>
  </si>
  <si>
    <t>Jose Ramirez</t>
  </si>
  <si>
    <t>0558180559</t>
  </si>
  <si>
    <t>Guasmo</t>
  </si>
  <si>
    <t>jo.rami@sum.com</t>
  </si>
  <si>
    <t>P03</t>
  </si>
  <si>
    <t>Limpieza Express</t>
  </si>
  <si>
    <t>Julia Moreno</t>
  </si>
  <si>
    <t>0558180560</t>
  </si>
  <si>
    <t>Gasca</t>
  </si>
  <si>
    <t>juli.@limpieza.com</t>
  </si>
  <si>
    <t>Quito</t>
  </si>
  <si>
    <t>Servicios</t>
  </si>
  <si>
    <t>P04</t>
  </si>
  <si>
    <t>Tramaco</t>
  </si>
  <si>
    <t>Sebastian Moreano</t>
  </si>
  <si>
    <t>0558180561</t>
  </si>
  <si>
    <t>seba@tramaco.com</t>
  </si>
  <si>
    <t>P05</t>
  </si>
  <si>
    <t>Farmity</t>
  </si>
  <si>
    <t>Ana Belen</t>
  </si>
  <si>
    <t>0558180562</t>
  </si>
  <si>
    <t>ana.farma@mity.com</t>
  </si>
  <si>
    <t>P06</t>
  </si>
  <si>
    <t>Laboratorios Vida Natural</t>
  </si>
  <si>
    <t>Ana Torres</t>
  </si>
  <si>
    <t>0993456789</t>
  </si>
  <si>
    <t>Av. 10 de Agosto N45-120</t>
  </si>
  <si>
    <t>ventas@vidanatural.com.ec</t>
  </si>
  <si>
    <t>Medicamentos</t>
  </si>
  <si>
    <t>P07</t>
  </si>
  <si>
    <t>Distribuidora Farmamed</t>
  </si>
  <si>
    <t>Jorge Sánchez</t>
  </si>
  <si>
    <t>0987765432</t>
  </si>
  <si>
    <t>Calle Bolívar 202 y Olmedo</t>
  </si>
  <si>
    <t>jsanchez@farmamed.com</t>
  </si>
  <si>
    <t>Distribuidor mayorista</t>
  </si>
  <si>
    <t>P08</t>
  </si>
  <si>
    <t>Química Andina S.A.</t>
  </si>
  <si>
    <t>María López</t>
  </si>
  <si>
    <t>0992223344</t>
  </si>
  <si>
    <t>Av. América 233 y Mariana de Jesús</t>
  </si>
  <si>
    <t>mlopez@quimicaandina.ec</t>
  </si>
  <si>
    <t>Insumos farmacéuticos</t>
  </si>
  <si>
    <t>P09</t>
  </si>
  <si>
    <t>Equipos Médicos Ecuador</t>
  </si>
  <si>
    <t>Carlos Herrera</t>
  </si>
  <si>
    <t>0976543211</t>
  </si>
  <si>
    <t>Av. Juan Tanca Marengo 1200</t>
  </si>
  <si>
    <t>cherrera@equiposec.com</t>
  </si>
  <si>
    <t>FARMAGRO</t>
  </si>
  <si>
    <t>Ruc:01232323</t>
  </si>
  <si>
    <t>Av. 9 de Octubre, Guayaquil, Ecuador</t>
  </si>
  <si>
    <t>Telef.:090952335</t>
  </si>
  <si>
    <t xml:space="preserve">Factura N.º: </t>
  </si>
  <si>
    <t>F001-000123</t>
  </si>
  <si>
    <t>Cedula:</t>
  </si>
  <si>
    <t>Fecha y hora:</t>
  </si>
  <si>
    <t>Correo:</t>
  </si>
  <si>
    <t>Cliente:</t>
  </si>
  <si>
    <t>Telefono:</t>
  </si>
  <si>
    <t>Direccion:</t>
  </si>
  <si>
    <t>Nombre del producto</t>
  </si>
  <si>
    <t>Precio unitario</t>
  </si>
  <si>
    <t>cantidad</t>
  </si>
  <si>
    <t>valor total</t>
  </si>
  <si>
    <t>Subtotal:</t>
  </si>
  <si>
    <t>Iva(15%):</t>
  </si>
  <si>
    <t>DESCUENTO:</t>
  </si>
  <si>
    <t>Descuento:</t>
  </si>
  <si>
    <t>Total:</t>
  </si>
  <si>
    <t>Firma del cliente</t>
  </si>
  <si>
    <t>Firma del Vendedor</t>
  </si>
  <si>
    <t>GRUPO: 6</t>
  </si>
  <si>
    <t>ALLAN JUNCO</t>
  </si>
  <si>
    <t>AMIN FLORES</t>
  </si>
  <si>
    <t>ELIAN OLIVO</t>
  </si>
  <si>
    <t>CHALVER MONCADA</t>
  </si>
  <si>
    <t>EDUARDO GUZMAN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</si>
</sst>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300A]#,##0.00"/>
    <numFmt numFmtId="165" formatCode="d\-m\-yy\ h:mm;@"/>
  </numFmts>
  <fonts count="6" x14ac:knownFonts="1">
    <font>
      <sz val="11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onsolas"/>
    </font>
    <font>
      <b/>
      <sz val="14"/>
      <color theme="1"/>
      <name val="Consolas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2" fillId="0" borderId="0" xfId="1" applyNumberFormat="1"/>
    <xf numFmtId="9" fontId="0" fillId="0" borderId="0" xfId="0" applyNumberFormat="1"/>
    <xf numFmtId="0" fontId="2" fillId="0" borderId="0" xfId="1"/>
    <xf numFmtId="0" fontId="0" fillId="4" borderId="1" xfId="0" applyFill="1" applyBorder="1"/>
    <xf numFmtId="0" fontId="0" fillId="4" borderId="8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0" xfId="0" applyFill="1"/>
    <xf numFmtId="0" fontId="0" fillId="4" borderId="4" xfId="0" applyFill="1" applyBorder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49" fontId="0" fillId="4" borderId="0" xfId="0" applyNumberFormat="1" applyFill="1" applyAlignment="1">
      <alignment horizontal="right"/>
    </xf>
    <xf numFmtId="0" fontId="0" fillId="4" borderId="7" xfId="0" applyFill="1" applyBorder="1"/>
    <xf numFmtId="0" fontId="0" fillId="4" borderId="5" xfId="0" applyFill="1" applyBorder="1"/>
    <xf numFmtId="0" fontId="0" fillId="4" borderId="6" xfId="0" applyFill="1" applyBorder="1"/>
    <xf numFmtId="49" fontId="0" fillId="4" borderId="7" xfId="0" applyNumberFormat="1" applyFill="1" applyBorder="1"/>
    <xf numFmtId="165" fontId="0" fillId="4" borderId="7" xfId="0" applyNumberFormat="1" applyFill="1" applyBorder="1" applyAlignment="1">
      <alignment horizontal="center" vertical="center"/>
    </xf>
    <xf numFmtId="0" fontId="0" fillId="0" borderId="9" xfId="0" applyBorder="1"/>
    <xf numFmtId="9" fontId="0" fillId="0" borderId="9" xfId="0" applyNumberFormat="1" applyBorder="1"/>
    <xf numFmtId="0" fontId="4" fillId="4" borderId="0" xfId="0" applyFont="1" applyFill="1" applyAlignment="1">
      <alignment horizontal="right"/>
    </xf>
    <xf numFmtId="164" fontId="4" fillId="4" borderId="0" xfId="0" applyNumberFormat="1" applyFont="1" applyFill="1"/>
    <xf numFmtId="0" fontId="5" fillId="4" borderId="0" xfId="0" applyFont="1" applyFill="1" applyAlignment="1">
      <alignment horizontal="right"/>
    </xf>
    <xf numFmtId="164" fontId="5" fillId="4" borderId="0" xfId="0" applyNumberFormat="1" applyFont="1" applyFill="1"/>
    <xf numFmtId="0" fontId="4" fillId="4" borderId="0" xfId="0" applyFont="1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29">
    <dxf>
      <font>
        <name val="Consolas"/>
      </font>
      <numFmt numFmtId="164" formatCode="[$$-300A]#,##0.00"/>
      <fill>
        <patternFill patternType="solid">
          <fgColor indexed="64"/>
          <bgColor theme="3" tint="0.89999084444715716"/>
        </patternFill>
      </fill>
    </dxf>
    <dxf>
      <font>
        <name val="Consolas"/>
      </font>
      <numFmt numFmtId="0" formatCode="General"/>
      <fill>
        <patternFill patternType="solid">
          <fgColor indexed="64"/>
          <bgColor theme="3" tint="0.89999084444715716"/>
        </patternFill>
      </fill>
    </dxf>
    <dxf>
      <font>
        <name val="Consolas"/>
      </font>
      <numFmt numFmtId="164" formatCode="[$$-300A]#,##0.00"/>
      <fill>
        <patternFill patternType="solid">
          <fgColor indexed="64"/>
          <bgColor theme="3" tint="0.89999084444715716"/>
        </patternFill>
      </fill>
    </dxf>
    <dxf>
      <font>
        <name val="Consolas"/>
      </font>
      <numFmt numFmtId="0" formatCode="General"/>
      <fill>
        <patternFill patternType="solid">
          <fgColor indexed="64"/>
          <bgColor theme="3" tint="0.89999084444715716"/>
        </patternFill>
      </fill>
    </dxf>
    <dxf>
      <font>
        <name val="Consolas"/>
      </font>
      <fill>
        <patternFill patternType="solid">
          <fgColor indexed="64"/>
          <bgColor theme="3" tint="0.89999084444715716"/>
        </patternFill>
      </fill>
    </dxf>
    <dxf>
      <font>
        <name val="Consolas"/>
      </font>
      <fill>
        <patternFill patternType="solid">
          <fgColor indexed="64"/>
          <bgColor theme="3" tint="0.89999084444715716"/>
        </patternFill>
      </fill>
    </dxf>
    <dxf>
      <font>
        <name val="Consolas"/>
      </font>
      <fill>
        <patternFill patternType="solid">
          <fgColor indexed="64"/>
          <bgColor theme="3" tint="0.89999084444715716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3" formatCode="0%"/>
    </dxf>
    <dxf>
      <numFmt numFmtId="166" formatCode="#,##0.00\ &quot;€&quot;"/>
    </dxf>
    <dxf>
      <numFmt numFmtId="167" formatCode="_-[$$-409]* #,##0.00_ ;_-[$$-409]* \-#,##0.00\ ;_-[$$-409]* &quot;-&quot;??_ ;_-@_ "/>
    </dxf>
  </dxfs>
  <tableStyles count="0" defaultTableStyle="TableStyleMedium2" defaultPivotStyle="PivotStyleMedium9"/>
  <colors>
    <mruColors>
      <color rgb="FFEDC8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1</xdr:col>
      <xdr:colOff>571500</xdr:colOff>
      <xdr:row>4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A8F64F-40E0-43EA-0631-02F09C7967D7}"/>
            </a:ext>
            <a:ext uri="{147F2762-F138-4A5C-976F-8EAC2B608ADB}">
              <a16:predDERef xmlns:a16="http://schemas.microsoft.com/office/drawing/2014/main" pred="{01259D45-0FBB-E438-8C22-91EF977B6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9181" t="23598" r="19380" b="22254"/>
        <a:stretch>
          <a:fillRect/>
        </a:stretch>
      </xdr:blipFill>
      <xdr:spPr>
        <a:xfrm>
          <a:off x="123825" y="19050"/>
          <a:ext cx="1057275" cy="9239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3F102F-8300-484F-A841-720463FA677F}" name="ListaDeControl" displayName="ListaDeControl" ref="A2:J12" totalsRowShown="0">
  <autoFilter ref="A2:J12" xr:uid="{A83F102F-8300-484F-A841-720463FA677F}"/>
  <tableColumns count="10">
    <tableColumn id="1" xr3:uid="{191036C4-38F9-4B58-982F-916B12F02CBA}" name="codigo"/>
    <tableColumn id="2" xr3:uid="{FFFCA041-AAC9-4B6C-88E1-49B8F8C31B2F}" name="Nombre"/>
    <tableColumn id="3" xr3:uid="{E286E479-03E9-4542-9CE3-75F3082E41EE}" name="Marca"/>
    <tableColumn id="4" xr3:uid="{44804AFB-AD4E-4F16-9EDE-D7AEBA159867}" name="Descrip"/>
    <tableColumn id="5" xr3:uid="{CD9FCD82-B9CA-43B1-B0DB-5CC1345576DC}" name="Origen"/>
    <tableColumn id="6" xr3:uid="{066B88E4-E02B-4C12-9B26-32A52C3F6A70}" name="Ubicacion"/>
    <tableColumn id="7" xr3:uid="{38218AA9-1FC1-44FD-8CEB-0D8DACAE60AE}" name="Categ"/>
    <tableColumn id="8" xr3:uid="{1A10A53B-B04F-4803-8DBC-EB348D4050F9}" name="Costo" dataDxfId="28"/>
    <tableColumn id="9" xr3:uid="{E26B53D3-D372-4B40-AAF6-BB157057E512}" name="Precio Unit" dataDxfId="27">
      <calculatedColumnFormula>H3*(1-J3)</calculatedColumnFormula>
    </tableColumn>
    <tableColumn id="10" xr3:uid="{FDAB31B2-3694-4A2F-A6FC-BEEF23508D42}" name="Descuento" dataDxfId="2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59F5AD-40B6-4670-AD2B-0F7609559D69}" name="Clientes" displayName="Clientes" ref="A2:H9" totalsRowShown="0" headerRowDxfId="25" dataDxfId="24">
  <autoFilter ref="A2:H9" xr:uid="{EE59F5AD-40B6-4670-AD2B-0F7609559D69}"/>
  <tableColumns count="8">
    <tableColumn id="2" xr3:uid="{C7A0E6DE-B695-4DD2-9B29-2D6AD2E55E77}" name="cedula" dataDxfId="23"/>
    <tableColumn id="3" xr3:uid="{46FF6859-B8F1-4F1B-AF6D-9BA242CF32DF}" name="Nombre y Apellido" dataDxfId="22"/>
    <tableColumn id="4" xr3:uid="{0C1D6BAC-7094-4916-9A71-6838E5431D8D}" name="edad" dataDxfId="21"/>
    <tableColumn id="5" xr3:uid="{82F5BF45-834D-4921-A150-353B76A79340}" name="sexo" dataDxfId="20"/>
    <tableColumn id="6" xr3:uid="{B0203771-062B-459A-BB34-ED2A9384B1FE}" name="Telefono" dataDxfId="19"/>
    <tableColumn id="7" xr3:uid="{BBBCDA3F-3FAD-44EC-96FE-7533CB45A67E}" name="Direccion" dataDxfId="18"/>
    <tableColumn id="8" xr3:uid="{797B6AF0-7954-4925-83EC-8BC5763A2CC7}" name="Ciudad" dataDxfId="17"/>
    <tableColumn id="9" xr3:uid="{029FAE18-4B36-49DD-AFF8-678338A8425F}" name="Correo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A49A52-F07A-4D18-9D93-D40EF5FBD41D}" name="Proveedores" displayName="Proveedores" ref="B4:I13" totalsRowShown="0" dataDxfId="15">
  <autoFilter ref="B4:I13" xr:uid="{5CA49A52-F07A-4D18-9D93-D40EF5FBD41D}"/>
  <tableColumns count="8">
    <tableColumn id="1" xr3:uid="{8EB75E95-E33D-4501-9DAC-703961E49BD9}" name="Codigo" dataDxfId="14"/>
    <tableColumn id="2" xr3:uid="{53E8440A-8E90-4679-A8C7-903D6F991E2B}" name="Nombre" dataDxfId="13"/>
    <tableColumn id="3" xr3:uid="{5040BBE0-9CC0-4A0C-9FFA-FD5044CCF585}" name="Contacto" dataDxfId="12"/>
    <tableColumn id="4" xr3:uid="{661C134B-8BA7-4965-BF38-86D80DAE7357}" name="Telefono" dataDxfId="11"/>
    <tableColumn id="5" xr3:uid="{0DAF8061-36F0-4524-B8CA-535AD1E5073C}" name="Direccion" dataDxfId="10"/>
    <tableColumn id="6" xr3:uid="{537A6E30-E28D-4593-89AB-868E4709DA83}" name="Correo" dataDxfId="9"/>
    <tableColumn id="7" xr3:uid="{03998D36-BA78-4779-82F6-672A739141AD}" name="Ciudad" dataDxfId="8"/>
    <tableColumn id="8" xr3:uid="{C611D122-3FBC-4FCE-9A22-08C71867556D}" name="Tipo" dataDxfId="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2D5D8-B048-4461-8A6B-A4736E692C40}" name="Factura" displayName="Factura" ref="B13:F21" totalsRowShown="0" headerRowDxfId="6" dataDxfId="5">
  <autoFilter ref="B13:F21" xr:uid="{8272D5D8-B048-4461-8A6B-A4736E692C40}"/>
  <tableColumns count="5">
    <tableColumn id="1" xr3:uid="{4C1249ED-FA37-43F2-9AA1-434716ECC692}" name="codigo" dataDxfId="4"/>
    <tableColumn id="2" xr3:uid="{A608A707-68DB-4DB2-9AD8-C1C516D866C9}" name="Nombre del producto" dataDxfId="3">
      <calculatedColumnFormula>IFERROR(VLOOKUP(Factura[[#This Row],[codigo]],ListaDeControl[],2,FALSE),"")</calculatedColumnFormula>
    </tableColumn>
    <tableColumn id="3" xr3:uid="{A4888FC4-32F7-4FC0-9B8E-99C55D1C9254}" name="Precio unitario" dataDxfId="2">
      <calculatedColumnFormula>IFERROR(VLOOKUP(Factura[[#This Row],[codigo]],ListaDeControl[],9,FALSE),"")</calculatedColumnFormula>
    </tableColumn>
    <tableColumn id="4" xr3:uid="{B132C079-A6FD-4E56-A725-09E99AA96A6E}" name="cantidad" dataDxfId="1"/>
    <tableColumn id="5" xr3:uid="{B1717527-3F0C-4BA4-A59B-A9653FE2922D}" name="valor total" dataDxfId="0">
      <calculatedColumnFormula>IFERROR(Factura[[#This Row],[Precio unitario]]*Factura[[#This Row],[cantidad]],"")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lopez@quimicaandina.ec" TargetMode="External"/><Relationship Id="rId3" Type="http://schemas.openxmlformats.org/officeDocument/2006/relationships/hyperlink" Target="mailto:juli.@limpieza.com" TargetMode="External"/><Relationship Id="rId7" Type="http://schemas.openxmlformats.org/officeDocument/2006/relationships/hyperlink" Target="mailto:jsanchez@farmamed.com" TargetMode="External"/><Relationship Id="rId2" Type="http://schemas.openxmlformats.org/officeDocument/2006/relationships/hyperlink" Target="mailto:jo.rami@sum.com" TargetMode="External"/><Relationship Id="rId1" Type="http://schemas.openxmlformats.org/officeDocument/2006/relationships/hyperlink" Target="mailto:an.vega@papel.com" TargetMode="External"/><Relationship Id="rId6" Type="http://schemas.openxmlformats.org/officeDocument/2006/relationships/hyperlink" Target="mailto:ventas@vidanatural.com.ec" TargetMode="External"/><Relationship Id="rId5" Type="http://schemas.openxmlformats.org/officeDocument/2006/relationships/hyperlink" Target="mailto:seba@tramaco.com" TargetMode="External"/><Relationship Id="rId10" Type="http://schemas.openxmlformats.org/officeDocument/2006/relationships/table" Target="../tables/table3.xml"/><Relationship Id="rId4" Type="http://schemas.openxmlformats.org/officeDocument/2006/relationships/hyperlink" Target="mailto:ana.farma@mity.com" TargetMode="External"/><Relationship Id="rId9" Type="http://schemas.openxmlformats.org/officeDocument/2006/relationships/hyperlink" Target="mailto:cherrera@equiposec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J6" sqref="J6"/>
    </sheetView>
  </sheetViews>
  <sheetFormatPr baseColWidth="10" defaultColWidth="9.140625" defaultRowHeight="15" x14ac:dyDescent="0.25"/>
  <cols>
    <col min="1" max="1" width="10.28515625" customWidth="1"/>
    <col min="2" max="2" width="28.7109375" bestFit="1" customWidth="1"/>
    <col min="3" max="3" width="10.28515625" customWidth="1"/>
    <col min="4" max="4" width="31.85546875" bestFit="1" customWidth="1"/>
    <col min="5" max="5" width="10.42578125" bestFit="1" customWidth="1"/>
    <col min="6" max="6" width="12.42578125" bestFit="1" customWidth="1"/>
    <col min="9" max="9" width="13.140625" bestFit="1" customWidth="1"/>
    <col min="10" max="10" width="13" bestFit="1" customWidth="1"/>
  </cols>
  <sheetData>
    <row r="1" spans="1:10" ht="30.75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2">
        <v>0.08</v>
      </c>
      <c r="I3" s="2">
        <f t="shared" ref="I3:I12" si="0">H3*(1-J3)</f>
        <v>0.08</v>
      </c>
      <c r="J3" s="4">
        <v>0</v>
      </c>
    </row>
    <row r="4" spans="1:10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17</v>
      </c>
      <c r="H4" s="2">
        <v>0.1</v>
      </c>
      <c r="I4" s="2">
        <f t="shared" si="0"/>
        <v>0.1</v>
      </c>
      <c r="J4" s="4">
        <v>0</v>
      </c>
    </row>
    <row r="5" spans="1:10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17</v>
      </c>
      <c r="H5" s="2">
        <v>0.25</v>
      </c>
      <c r="I5" s="2">
        <f t="shared" si="0"/>
        <v>0.25</v>
      </c>
      <c r="J5" s="4">
        <v>0</v>
      </c>
    </row>
    <row r="6" spans="1:10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s="2">
        <v>0.25</v>
      </c>
      <c r="I6" s="2">
        <f t="shared" si="0"/>
        <v>0.25</v>
      </c>
      <c r="J6" s="4">
        <v>0</v>
      </c>
    </row>
    <row r="7" spans="1:10" x14ac:dyDescent="0.25">
      <c r="A7" t="s">
        <v>37</v>
      </c>
      <c r="B7" t="s">
        <v>38</v>
      </c>
      <c r="C7" t="s">
        <v>39</v>
      </c>
      <c r="D7" t="s">
        <v>40</v>
      </c>
      <c r="E7" t="s">
        <v>15</v>
      </c>
      <c r="F7" t="s">
        <v>41</v>
      </c>
      <c r="G7" t="s">
        <v>42</v>
      </c>
      <c r="H7" s="2">
        <v>0.5</v>
      </c>
      <c r="I7" s="2">
        <f t="shared" si="0"/>
        <v>0.5</v>
      </c>
      <c r="J7" s="4">
        <v>0</v>
      </c>
    </row>
    <row r="8" spans="1:10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s="2">
        <v>0.75</v>
      </c>
      <c r="I8" s="2">
        <f t="shared" si="0"/>
        <v>0.75</v>
      </c>
      <c r="J8" s="4">
        <v>0</v>
      </c>
    </row>
    <row r="9" spans="1:10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s="2">
        <v>0.8</v>
      </c>
      <c r="I9" s="2">
        <f t="shared" si="0"/>
        <v>0.8</v>
      </c>
      <c r="J9" s="4">
        <v>0</v>
      </c>
    </row>
    <row r="10" spans="1:10" x14ac:dyDescent="0.25">
      <c r="A10" t="s">
        <v>57</v>
      </c>
      <c r="B10" t="s">
        <v>58</v>
      </c>
      <c r="C10" t="s">
        <v>59</v>
      </c>
      <c r="D10" t="s">
        <v>60</v>
      </c>
      <c r="E10" t="s">
        <v>34</v>
      </c>
      <c r="F10" t="s">
        <v>61</v>
      </c>
      <c r="G10" t="s">
        <v>17</v>
      </c>
      <c r="H10" s="2">
        <v>2</v>
      </c>
      <c r="I10" s="2">
        <f t="shared" si="0"/>
        <v>2</v>
      </c>
      <c r="J10" s="4">
        <v>0</v>
      </c>
    </row>
    <row r="11" spans="1:10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s="2">
        <v>1.5</v>
      </c>
      <c r="I11" s="2">
        <f t="shared" si="0"/>
        <v>1.5</v>
      </c>
      <c r="J11" s="4">
        <v>0</v>
      </c>
    </row>
    <row r="12" spans="1:10" x14ac:dyDescent="0.25">
      <c r="A12" t="s">
        <v>69</v>
      </c>
      <c r="B12" t="s">
        <v>70</v>
      </c>
      <c r="C12" t="s">
        <v>71</v>
      </c>
      <c r="D12" t="s">
        <v>72</v>
      </c>
      <c r="E12" t="s">
        <v>66</v>
      </c>
      <c r="F12" t="s">
        <v>73</v>
      </c>
      <c r="G12" t="s">
        <v>74</v>
      </c>
      <c r="H12" s="2">
        <v>4</v>
      </c>
      <c r="I12" s="2">
        <f t="shared" si="0"/>
        <v>4</v>
      </c>
      <c r="J12" s="4">
        <v>0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EB14-8263-4E2F-B189-5703CEF62747}">
  <dimension ref="A1:H9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9.7109375" bestFit="1" customWidth="1"/>
    <col min="2" max="3" width="20" bestFit="1" customWidth="1"/>
    <col min="4" max="5" width="16.85546875" customWidth="1"/>
    <col min="6" max="7" width="16.7109375" bestFit="1" customWidth="1"/>
    <col min="8" max="9" width="28" bestFit="1" customWidth="1"/>
    <col min="10" max="10" width="17" bestFit="1" customWidth="1"/>
    <col min="11" max="11" width="17.85546875" bestFit="1" customWidth="1"/>
  </cols>
  <sheetData>
    <row r="1" spans="1:8" ht="24.75" customHeight="1" x14ac:dyDescent="0.25">
      <c r="A1" s="29" t="s">
        <v>75</v>
      </c>
      <c r="B1" s="29"/>
      <c r="C1" s="29"/>
      <c r="D1" s="29"/>
      <c r="E1" s="29"/>
      <c r="F1" s="29"/>
      <c r="G1" s="29"/>
      <c r="H1" s="29"/>
    </row>
    <row r="2" spans="1:8" x14ac:dyDescent="0.25">
      <c r="A2" s="1" t="s">
        <v>76</v>
      </c>
      <c r="B2" s="1" t="s">
        <v>77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82</v>
      </c>
      <c r="H2" s="1" t="s">
        <v>83</v>
      </c>
    </row>
    <row r="3" spans="1:8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</row>
    <row r="4" spans="1:8" x14ac:dyDescent="0.25">
      <c r="A4" s="1" t="s">
        <v>92</v>
      </c>
      <c r="B4" s="1" t="s">
        <v>93</v>
      </c>
      <c r="C4" s="1" t="s">
        <v>94</v>
      </c>
      <c r="D4" s="1" t="s">
        <v>87</v>
      </c>
      <c r="E4" s="1" t="s">
        <v>95</v>
      </c>
      <c r="F4" s="1" t="s">
        <v>96</v>
      </c>
      <c r="G4" s="1" t="s">
        <v>90</v>
      </c>
      <c r="H4" s="1" t="s">
        <v>97</v>
      </c>
    </row>
    <row r="5" spans="1:8" x14ac:dyDescent="0.25">
      <c r="A5" s="1" t="s">
        <v>98</v>
      </c>
      <c r="B5" s="1" t="s">
        <v>99</v>
      </c>
      <c r="C5" s="1" t="s">
        <v>100</v>
      </c>
      <c r="D5" s="1" t="s">
        <v>101</v>
      </c>
      <c r="E5" s="1" t="s">
        <v>102</v>
      </c>
      <c r="F5" s="1" t="s">
        <v>103</v>
      </c>
      <c r="G5" s="1" t="s">
        <v>90</v>
      </c>
      <c r="H5" s="1" t="s">
        <v>104</v>
      </c>
    </row>
    <row r="6" spans="1:8" x14ac:dyDescent="0.25">
      <c r="A6" s="1" t="s">
        <v>105</v>
      </c>
      <c r="B6" s="1" t="s">
        <v>106</v>
      </c>
      <c r="C6" s="1" t="s">
        <v>107</v>
      </c>
      <c r="D6" s="1" t="s">
        <v>101</v>
      </c>
      <c r="E6" s="1" t="s">
        <v>108</v>
      </c>
      <c r="F6" s="1" t="s">
        <v>103</v>
      </c>
      <c r="G6" s="1" t="s">
        <v>90</v>
      </c>
      <c r="H6" s="1" t="s">
        <v>109</v>
      </c>
    </row>
    <row r="7" spans="1:8" x14ac:dyDescent="0.25">
      <c r="A7" s="1" t="s">
        <v>110</v>
      </c>
      <c r="B7" s="1" t="s">
        <v>111</v>
      </c>
      <c r="C7" s="1" t="s">
        <v>112</v>
      </c>
      <c r="D7" s="1" t="s">
        <v>87</v>
      </c>
      <c r="E7" s="1" t="s">
        <v>113</v>
      </c>
      <c r="F7" s="1" t="s">
        <v>89</v>
      </c>
      <c r="G7" s="1" t="s">
        <v>90</v>
      </c>
      <c r="H7" s="1" t="s">
        <v>114</v>
      </c>
    </row>
    <row r="8" spans="1:8" x14ac:dyDescent="0.25">
      <c r="A8" s="1" t="s">
        <v>115</v>
      </c>
      <c r="B8" s="1" t="s">
        <v>116</v>
      </c>
      <c r="C8" s="1" t="s">
        <v>117</v>
      </c>
      <c r="D8" s="1" t="s">
        <v>87</v>
      </c>
      <c r="E8" s="1" t="s">
        <v>118</v>
      </c>
      <c r="F8" s="1" t="s">
        <v>119</v>
      </c>
      <c r="G8" s="1" t="s">
        <v>90</v>
      </c>
      <c r="H8" s="1" t="s">
        <v>120</v>
      </c>
    </row>
    <row r="9" spans="1:8" x14ac:dyDescent="0.25">
      <c r="A9" s="1" t="s">
        <v>121</v>
      </c>
      <c r="B9" s="1" t="s">
        <v>122</v>
      </c>
      <c r="C9" s="1" t="s">
        <v>123</v>
      </c>
      <c r="D9" s="1" t="s">
        <v>87</v>
      </c>
      <c r="E9" s="1" t="s">
        <v>124</v>
      </c>
      <c r="F9" s="1" t="s">
        <v>119</v>
      </c>
      <c r="G9" s="1" t="s">
        <v>90</v>
      </c>
      <c r="H9" s="1" t="s">
        <v>125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2854-A664-481D-B12E-890AE79B182D}">
  <dimension ref="B2:I13"/>
  <sheetViews>
    <sheetView workbookViewId="0">
      <selection activeCell="G14" sqref="G14"/>
    </sheetView>
  </sheetViews>
  <sheetFormatPr baseColWidth="10" defaultColWidth="9.140625" defaultRowHeight="15" x14ac:dyDescent="0.25"/>
  <cols>
    <col min="2" max="2" width="9.7109375" bestFit="1" customWidth="1"/>
    <col min="3" max="3" width="17.5703125" bestFit="1" customWidth="1"/>
    <col min="4" max="4" width="12.28515625" bestFit="1" customWidth="1"/>
    <col min="5" max="6" width="12" bestFit="1" customWidth="1"/>
    <col min="7" max="7" width="19" bestFit="1" customWidth="1"/>
    <col min="9" max="9" width="21.5703125" bestFit="1" customWidth="1"/>
  </cols>
  <sheetData>
    <row r="2" spans="2:9" ht="18.75" x14ac:dyDescent="0.3">
      <c r="B2" s="30" t="s">
        <v>126</v>
      </c>
      <c r="C2" s="30"/>
      <c r="D2" s="30"/>
      <c r="E2" s="30"/>
      <c r="F2" s="30"/>
      <c r="G2" s="30"/>
      <c r="H2" s="30"/>
    </row>
    <row r="4" spans="2:9" x14ac:dyDescent="0.25">
      <c r="B4" t="s">
        <v>127</v>
      </c>
      <c r="C4" t="s">
        <v>2</v>
      </c>
      <c r="D4" t="s">
        <v>128</v>
      </c>
      <c r="E4" t="s">
        <v>80</v>
      </c>
      <c r="F4" t="s">
        <v>81</v>
      </c>
      <c r="G4" t="s">
        <v>83</v>
      </c>
      <c r="H4" t="s">
        <v>82</v>
      </c>
      <c r="I4" t="s">
        <v>129</v>
      </c>
    </row>
    <row r="5" spans="2:9" x14ac:dyDescent="0.25">
      <c r="B5" s="1" t="s">
        <v>130</v>
      </c>
      <c r="C5" s="1" t="s">
        <v>131</v>
      </c>
      <c r="D5" s="1" t="s">
        <v>132</v>
      </c>
      <c r="E5" s="1" t="s">
        <v>133</v>
      </c>
      <c r="F5" s="3" t="s">
        <v>119</v>
      </c>
      <c r="G5" s="3" t="s">
        <v>134</v>
      </c>
      <c r="H5" s="1" t="s">
        <v>90</v>
      </c>
      <c r="I5" s="1" t="s">
        <v>135</v>
      </c>
    </row>
    <row r="6" spans="2:9" x14ac:dyDescent="0.25">
      <c r="B6" s="1" t="s">
        <v>136</v>
      </c>
      <c r="C6" s="1" t="s">
        <v>137</v>
      </c>
      <c r="D6" s="1" t="s">
        <v>138</v>
      </c>
      <c r="E6" s="1" t="s">
        <v>139</v>
      </c>
      <c r="F6" s="1" t="s">
        <v>140</v>
      </c>
      <c r="G6" s="3" t="s">
        <v>141</v>
      </c>
      <c r="H6" s="1" t="s">
        <v>90</v>
      </c>
      <c r="I6" s="1" t="s">
        <v>135</v>
      </c>
    </row>
    <row r="7" spans="2:9" x14ac:dyDescent="0.25">
      <c r="B7" s="1" t="s">
        <v>142</v>
      </c>
      <c r="C7" s="1" t="s">
        <v>143</v>
      </c>
      <c r="D7" s="1" t="s">
        <v>144</v>
      </c>
      <c r="E7" s="1" t="s">
        <v>145</v>
      </c>
      <c r="F7" s="1" t="s">
        <v>146</v>
      </c>
      <c r="G7" s="3" t="s">
        <v>147</v>
      </c>
      <c r="H7" s="1" t="s">
        <v>148</v>
      </c>
      <c r="I7" s="1" t="s">
        <v>149</v>
      </c>
    </row>
    <row r="8" spans="2:9" x14ac:dyDescent="0.25">
      <c r="B8" s="1" t="s">
        <v>150</v>
      </c>
      <c r="C8" s="1" t="s">
        <v>151</v>
      </c>
      <c r="D8" s="1" t="s">
        <v>152</v>
      </c>
      <c r="E8" s="1" t="s">
        <v>153</v>
      </c>
      <c r="F8" s="1" t="s">
        <v>119</v>
      </c>
      <c r="G8" s="3" t="s">
        <v>154</v>
      </c>
      <c r="H8" s="1" t="s">
        <v>90</v>
      </c>
      <c r="I8" s="1" t="s">
        <v>149</v>
      </c>
    </row>
    <row r="9" spans="2:9" x14ac:dyDescent="0.25">
      <c r="B9" s="1" t="s">
        <v>155</v>
      </c>
      <c r="C9" s="1" t="s">
        <v>156</v>
      </c>
      <c r="D9" s="1" t="s">
        <v>157</v>
      </c>
      <c r="E9" s="1" t="s">
        <v>158</v>
      </c>
      <c r="F9" s="1" t="s">
        <v>119</v>
      </c>
      <c r="G9" s="3" t="s">
        <v>159</v>
      </c>
      <c r="H9" s="1" t="s">
        <v>90</v>
      </c>
      <c r="I9" s="1" t="s">
        <v>135</v>
      </c>
    </row>
    <row r="10" spans="2:9" x14ac:dyDescent="0.25">
      <c r="B10" s="1" t="s">
        <v>160</v>
      </c>
      <c r="C10" t="s">
        <v>161</v>
      </c>
      <c r="D10" t="s">
        <v>162</v>
      </c>
      <c r="E10" s="1" t="s">
        <v>163</v>
      </c>
      <c r="F10" t="s">
        <v>164</v>
      </c>
      <c r="G10" s="5" t="s">
        <v>165</v>
      </c>
      <c r="H10" t="s">
        <v>148</v>
      </c>
      <c r="I10" t="s">
        <v>166</v>
      </c>
    </row>
    <row r="11" spans="2:9" x14ac:dyDescent="0.25">
      <c r="B11" s="1" t="s">
        <v>167</v>
      </c>
      <c r="C11" t="s">
        <v>168</v>
      </c>
      <c r="D11" t="s">
        <v>169</v>
      </c>
      <c r="E11" s="1" t="s">
        <v>170</v>
      </c>
      <c r="F11" t="s">
        <v>171</v>
      </c>
      <c r="G11" s="5" t="s">
        <v>172</v>
      </c>
      <c r="H11" t="s">
        <v>90</v>
      </c>
      <c r="I11" t="s">
        <v>173</v>
      </c>
    </row>
    <row r="12" spans="2:9" x14ac:dyDescent="0.25">
      <c r="B12" s="1" t="s">
        <v>174</v>
      </c>
      <c r="C12" t="s">
        <v>175</v>
      </c>
      <c r="D12" t="s">
        <v>176</v>
      </c>
      <c r="E12" s="1" t="s">
        <v>177</v>
      </c>
      <c r="F12" t="s">
        <v>178</v>
      </c>
      <c r="G12" s="5" t="s">
        <v>179</v>
      </c>
      <c r="H12" t="s">
        <v>148</v>
      </c>
      <c r="I12" t="s">
        <v>180</v>
      </c>
    </row>
    <row r="13" spans="2:9" x14ac:dyDescent="0.25">
      <c r="B13" s="1" t="s">
        <v>181</v>
      </c>
      <c r="C13" t="s">
        <v>182</v>
      </c>
      <c r="D13" t="s">
        <v>183</v>
      </c>
      <c r="E13" s="1" t="s">
        <v>184</v>
      </c>
      <c r="F13" t="s">
        <v>185</v>
      </c>
      <c r="G13" s="5" t="s">
        <v>186</v>
      </c>
      <c r="H13" t="s">
        <v>90</v>
      </c>
      <c r="I13" t="s">
        <v>49</v>
      </c>
    </row>
  </sheetData>
  <mergeCells count="1">
    <mergeCell ref="B2:H2"/>
  </mergeCells>
  <hyperlinks>
    <hyperlink ref="G5" r:id="rId1" xr:uid="{CB59F335-6F92-4E0A-BC58-0E4E4A26A609}"/>
    <hyperlink ref="G6" r:id="rId2" xr:uid="{DEE0CEA7-469B-434B-B355-F0423E6B15FA}"/>
    <hyperlink ref="G7" r:id="rId3" xr:uid="{A8EA075D-A9C4-4201-BBBE-55B25FF7AE23}"/>
    <hyperlink ref="G9" r:id="rId4" xr:uid="{3802161D-7750-4892-B5AE-1D6C5BE3C3B4}"/>
    <hyperlink ref="G8" r:id="rId5" xr:uid="{3435E75A-C5D5-4BB1-9F74-F7EA1339AE6D}"/>
    <hyperlink ref="G10" r:id="rId6" xr:uid="{CCCA6FD5-4539-4885-ABEE-B4F13D5095FE}"/>
    <hyperlink ref="G11" r:id="rId7" xr:uid="{63A6994E-35FC-4758-99BC-A60A96576470}"/>
    <hyperlink ref="G12" r:id="rId8" xr:uid="{D88FBB19-D9A2-4723-B0AE-562F6B3B729F}"/>
    <hyperlink ref="G13" r:id="rId9" xr:uid="{B5EA171B-88C1-4A31-8549-BF834155F0A7}"/>
  </hyperlinks>
  <pageMargins left="0.7" right="0.7" top="0.75" bottom="0.75" header="0.3" footer="0.3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0B45-5EEA-4026-B7B5-D11AC4EC1CCF}">
  <dimension ref="A1:O31"/>
  <sheetViews>
    <sheetView showGridLines="0" tabSelected="1" zoomScale="90" zoomScaleNormal="90" workbookViewId="0">
      <selection activeCell="C8" sqref="C8"/>
    </sheetView>
  </sheetViews>
  <sheetFormatPr baseColWidth="10" defaultColWidth="9.140625" defaultRowHeight="15" x14ac:dyDescent="0.25"/>
  <cols>
    <col min="2" max="2" width="9.85546875" customWidth="1"/>
    <col min="3" max="3" width="22.5703125" bestFit="1" customWidth="1"/>
    <col min="4" max="4" width="12.28515625" customWidth="1"/>
    <col min="5" max="5" width="16.5703125" bestFit="1" customWidth="1"/>
    <col min="6" max="6" width="12.42578125" bestFit="1" customWidth="1"/>
    <col min="11" max="11" width="12.7109375" bestFit="1" customWidth="1"/>
  </cols>
  <sheetData>
    <row r="1" spans="1:15" x14ac:dyDescent="0.25">
      <c r="A1" s="6"/>
      <c r="B1" s="7"/>
      <c r="C1" s="32" t="s">
        <v>187</v>
      </c>
      <c r="D1" s="33"/>
      <c r="E1" s="7"/>
      <c r="F1" s="7"/>
      <c r="G1" s="8"/>
      <c r="O1" t="s">
        <v>210</v>
      </c>
    </row>
    <row r="2" spans="1:15" x14ac:dyDescent="0.25">
      <c r="A2" s="9"/>
      <c r="B2" s="10"/>
      <c r="C2" s="34" t="s">
        <v>188</v>
      </c>
      <c r="D2" s="35"/>
      <c r="E2" s="10"/>
      <c r="F2" s="10"/>
      <c r="G2" s="11"/>
      <c r="O2" t="s">
        <v>211</v>
      </c>
    </row>
    <row r="3" spans="1:15" x14ac:dyDescent="0.25">
      <c r="A3" s="9"/>
      <c r="B3" s="10"/>
      <c r="C3" s="34" t="s">
        <v>189</v>
      </c>
      <c r="D3" s="35"/>
      <c r="E3" s="10"/>
      <c r="F3" s="10"/>
      <c r="G3" s="11"/>
      <c r="O3" t="s">
        <v>212</v>
      </c>
    </row>
    <row r="4" spans="1:15" x14ac:dyDescent="0.25">
      <c r="A4" s="9"/>
      <c r="B4" s="10"/>
      <c r="C4" s="36" t="s">
        <v>190</v>
      </c>
      <c r="D4" s="37"/>
      <c r="E4" s="10"/>
      <c r="F4" s="10"/>
      <c r="G4" s="11"/>
      <c r="O4" t="s">
        <v>213</v>
      </c>
    </row>
    <row r="5" spans="1:15" x14ac:dyDescent="0.25">
      <c r="A5" s="9"/>
      <c r="B5" s="10"/>
      <c r="C5" s="12"/>
      <c r="D5" s="12"/>
      <c r="E5" s="10"/>
      <c r="F5" s="10"/>
      <c r="G5" s="11"/>
      <c r="O5" t="s">
        <v>214</v>
      </c>
    </row>
    <row r="6" spans="1:15" x14ac:dyDescent="0.25">
      <c r="A6" s="9"/>
      <c r="B6" s="10"/>
      <c r="C6" s="10"/>
      <c r="D6" s="10" t="s">
        <v>191</v>
      </c>
      <c r="E6" s="10" t="s">
        <v>192</v>
      </c>
      <c r="F6" s="10"/>
      <c r="G6" s="11"/>
      <c r="O6" t="s">
        <v>215</v>
      </c>
    </row>
    <row r="7" spans="1:15" x14ac:dyDescent="0.25">
      <c r="A7" s="9"/>
      <c r="B7" s="14" t="s">
        <v>193</v>
      </c>
      <c r="C7" s="18" t="s">
        <v>84</v>
      </c>
      <c r="D7" s="13" t="s">
        <v>194</v>
      </c>
      <c r="E7" s="19">
        <f ca="1">TODAY()</f>
        <v>45956</v>
      </c>
      <c r="F7" s="10"/>
      <c r="G7" s="11"/>
    </row>
    <row r="8" spans="1:15" x14ac:dyDescent="0.25">
      <c r="A8" s="9"/>
      <c r="B8" s="14" t="s">
        <v>195</v>
      </c>
      <c r="C8" s="15" t="str">
        <f>IFERROR(VLOOKUP(C7,Clientes[],8,FALSE),"NO EXISTE")</f>
        <v>allan.junco@gmail.com</v>
      </c>
      <c r="D8" s="10"/>
      <c r="E8" s="10"/>
      <c r="F8" s="10"/>
      <c r="G8" s="11"/>
    </row>
    <row r="9" spans="1:15" x14ac:dyDescent="0.25">
      <c r="A9" s="9"/>
      <c r="B9" s="14" t="s">
        <v>196</v>
      </c>
      <c r="C9" s="15" t="str">
        <f>IFERROR(VLOOKUP(C7,Clientes[],2,FALSE),"NO EXISTE")</f>
        <v>Allan Junco</v>
      </c>
      <c r="D9" s="10"/>
      <c r="E9" s="10"/>
      <c r="F9" s="10"/>
      <c r="G9" s="11"/>
    </row>
    <row r="10" spans="1:15" x14ac:dyDescent="0.25">
      <c r="A10" s="9"/>
      <c r="B10" s="14" t="s">
        <v>197</v>
      </c>
      <c r="C10" s="15" t="str">
        <f>IFERROR(VLOOKUP(C7,Clientes[],5,FALSE),"NO EXISTE")</f>
        <v>0985256698</v>
      </c>
      <c r="D10" s="10"/>
      <c r="E10" s="10"/>
      <c r="F10" s="10"/>
      <c r="G10" s="11"/>
    </row>
    <row r="11" spans="1:15" x14ac:dyDescent="0.25">
      <c r="A11" s="9"/>
      <c r="B11" s="14" t="s">
        <v>198</v>
      </c>
      <c r="C11" s="15" t="str">
        <f>IFERROR(VLOOKUP(C7,Clientes[],6,FALSE),"NO EXISTE")</f>
        <v>Av. 25 de julio</v>
      </c>
      <c r="D11" s="10"/>
      <c r="E11" s="10"/>
      <c r="F11" s="10"/>
      <c r="G11" s="11"/>
    </row>
    <row r="12" spans="1:15" x14ac:dyDescent="0.25">
      <c r="A12" s="9"/>
      <c r="B12" s="10"/>
      <c r="C12" s="10"/>
      <c r="D12" s="10"/>
      <c r="E12" s="10"/>
      <c r="F12" s="10"/>
      <c r="G12" s="11"/>
    </row>
    <row r="13" spans="1:15" x14ac:dyDescent="0.25">
      <c r="A13" s="9"/>
      <c r="B13" s="26" t="s">
        <v>1</v>
      </c>
      <c r="C13" s="26" t="s">
        <v>199</v>
      </c>
      <c r="D13" s="26" t="s">
        <v>200</v>
      </c>
      <c r="E13" s="26" t="s">
        <v>201</v>
      </c>
      <c r="F13" s="26" t="s">
        <v>202</v>
      </c>
      <c r="G13" s="11"/>
    </row>
    <row r="14" spans="1:15" x14ac:dyDescent="0.25">
      <c r="A14" s="9"/>
      <c r="B14" s="26" t="s">
        <v>24</v>
      </c>
      <c r="C14" s="26" t="str">
        <f>IFERROR(VLOOKUP(Factura[[#This Row],[codigo]],ListaDeControl[],2,FALSE),"")</f>
        <v>Omeprazol 20 mg</v>
      </c>
      <c r="D14" s="23">
        <f>IFERROR(VLOOKUP(Factura[[#This Row],[codigo]],ListaDeControl[],9,FALSE),"")</f>
        <v>0.25</v>
      </c>
      <c r="E14" s="26">
        <v>12</v>
      </c>
      <c r="F14" s="23">
        <f>IFERROR(Factura[[#This Row],[Precio unitario]]*Factura[[#This Row],[cantidad]],"")</f>
        <v>3</v>
      </c>
      <c r="G14" s="11"/>
    </row>
    <row r="15" spans="1:15" x14ac:dyDescent="0.25">
      <c r="A15" s="9"/>
      <c r="B15" s="26" t="s">
        <v>30</v>
      </c>
      <c r="C15" s="26" t="str">
        <f>IFERROR(VLOOKUP(Factura[[#This Row],[codigo]],ListaDeControl[],2,FALSE),"")</f>
        <v>Suero Oral 500 ml</v>
      </c>
      <c r="D15" s="23">
        <f>IFERROR(VLOOKUP(Factura[[#This Row],[codigo]],ListaDeControl[],9,FALSE),"")</f>
        <v>0.25</v>
      </c>
      <c r="E15" s="26">
        <v>36</v>
      </c>
      <c r="F15" s="23">
        <f>IFERROR(Factura[[#This Row],[Precio unitario]]*Factura[[#This Row],[cantidad]],"")</f>
        <v>9</v>
      </c>
      <c r="G15" s="11"/>
    </row>
    <row r="16" spans="1:15" x14ac:dyDescent="0.25">
      <c r="A16" s="9"/>
      <c r="B16" s="26" t="s">
        <v>50</v>
      </c>
      <c r="C16" s="26" t="str">
        <f>IFERROR(VLOOKUP(Factura[[#This Row],[codigo]],ListaDeControl[],2,FALSE),"")</f>
        <v>Mascarilla KN95</v>
      </c>
      <c r="D16" s="23">
        <f>IFERROR(VLOOKUP(Factura[[#This Row],[codigo]],ListaDeControl[],9,FALSE),"")</f>
        <v>0.8</v>
      </c>
      <c r="E16" s="26">
        <v>12</v>
      </c>
      <c r="F16" s="23">
        <f>IFERROR(Factura[[#This Row],[Precio unitario]]*Factura[[#This Row],[cantidad]],"")</f>
        <v>9.6000000000000014</v>
      </c>
      <c r="G16" s="11"/>
    </row>
    <row r="17" spans="1:12" x14ac:dyDescent="0.25">
      <c r="A17" s="9"/>
      <c r="B17" s="26" t="s">
        <v>11</v>
      </c>
      <c r="C17" s="26" t="str">
        <f>IFERROR(VLOOKUP(Factura[[#This Row],[codigo]],ListaDeControl[],2,FALSE),"")</f>
        <v>Paracetamol 500 mg</v>
      </c>
      <c r="D17" s="23">
        <f>IFERROR(VLOOKUP(Factura[[#This Row],[codigo]],ListaDeControl[],9,FALSE),"")</f>
        <v>0.08</v>
      </c>
      <c r="E17" s="26">
        <v>5</v>
      </c>
      <c r="F17" s="23">
        <f>IFERROR(Factura[[#This Row],[Precio unitario]]*Factura[[#This Row],[cantidad]],"")</f>
        <v>0.4</v>
      </c>
      <c r="G17" s="11"/>
    </row>
    <row r="18" spans="1:12" x14ac:dyDescent="0.25">
      <c r="A18" s="9"/>
      <c r="B18" s="26"/>
      <c r="C18" s="26" t="str">
        <f>IFERROR(VLOOKUP(Factura[[#This Row],[codigo]],ListaDeControl[],2,FALSE),"")</f>
        <v/>
      </c>
      <c r="D18" s="23" t="str">
        <f>IFERROR(VLOOKUP(Factura[[#This Row],[codigo]],ListaDeControl[],9,FALSE),"")</f>
        <v/>
      </c>
      <c r="E18" s="26"/>
      <c r="F18" s="23" t="str">
        <f>IFERROR(Factura[[#This Row],[Precio unitario]]*Factura[[#This Row],[cantidad]],"")</f>
        <v/>
      </c>
      <c r="G18" s="11"/>
    </row>
    <row r="19" spans="1:12" x14ac:dyDescent="0.25">
      <c r="A19" s="9"/>
      <c r="B19" s="26"/>
      <c r="C19" s="26" t="str">
        <f>IFERROR(VLOOKUP(Factura[[#This Row],[codigo]],ListaDeControl[],2,FALSE),"")</f>
        <v/>
      </c>
      <c r="D19" s="23" t="str">
        <f>IFERROR(VLOOKUP(Factura[[#This Row],[codigo]],ListaDeControl[],9,FALSE),"")</f>
        <v/>
      </c>
      <c r="E19" s="26"/>
      <c r="F19" s="23" t="str">
        <f>IFERROR(Factura[[#This Row],[Precio unitario]]*Factura[[#This Row],[cantidad]],"")</f>
        <v/>
      </c>
      <c r="G19" s="11"/>
    </row>
    <row r="20" spans="1:12" x14ac:dyDescent="0.25">
      <c r="A20" s="9"/>
      <c r="B20" s="26"/>
      <c r="C20" s="26" t="str">
        <f>IFERROR(VLOOKUP(Factura[[#This Row],[codigo]],ListaDeControl[],2,FALSE),"")</f>
        <v/>
      </c>
      <c r="D20" s="23" t="str">
        <f>IFERROR(VLOOKUP(Factura[[#This Row],[codigo]],ListaDeControl[],9,FALSE),"")</f>
        <v/>
      </c>
      <c r="E20" s="26"/>
      <c r="F20" s="23" t="str">
        <f>IFERROR(Factura[[#This Row],[Precio unitario]]*Factura[[#This Row],[cantidad]],"")</f>
        <v/>
      </c>
      <c r="G20" s="11"/>
    </row>
    <row r="21" spans="1:12" x14ac:dyDescent="0.25">
      <c r="A21" s="9"/>
      <c r="B21" s="26"/>
      <c r="C21" s="26" t="str">
        <f>IFERROR(VLOOKUP(Factura[[#This Row],[codigo]],ListaDeControl[],2,FALSE),"")</f>
        <v/>
      </c>
      <c r="D21" s="23" t="str">
        <f>IFERROR(VLOOKUP(Factura[[#This Row],[codigo]],ListaDeControl[],9,FALSE),"")</f>
        <v/>
      </c>
      <c r="E21" s="26"/>
      <c r="F21" s="23" t="str">
        <f>IFERROR(Factura[[#This Row],[Precio unitario]]*Factura[[#This Row],[cantidad]],"")</f>
        <v/>
      </c>
      <c r="G21" s="11"/>
    </row>
    <row r="22" spans="1:12" x14ac:dyDescent="0.25">
      <c r="A22" s="9"/>
      <c r="B22" s="10"/>
      <c r="C22" s="10"/>
      <c r="D22" s="10"/>
      <c r="E22" s="22" t="s">
        <v>203</v>
      </c>
      <c r="F22" s="23">
        <f>IFERROR(SUM(Factura[valor total]),"")</f>
        <v>22</v>
      </c>
      <c r="G22" s="11"/>
    </row>
    <row r="23" spans="1:12" x14ac:dyDescent="0.25">
      <c r="A23" s="9"/>
      <c r="B23" s="10"/>
      <c r="C23" s="10"/>
      <c r="D23" s="10"/>
      <c r="E23" s="22" t="s">
        <v>204</v>
      </c>
      <c r="F23" s="23">
        <f>F22*15%</f>
        <v>3.3</v>
      </c>
      <c r="G23" s="11"/>
      <c r="K23" s="20" t="s">
        <v>205</v>
      </c>
      <c r="L23" s="21">
        <v>0.15</v>
      </c>
    </row>
    <row r="24" spans="1:12" x14ac:dyDescent="0.25">
      <c r="A24" s="9"/>
      <c r="B24" s="10"/>
      <c r="C24" s="10"/>
      <c r="D24" s="10"/>
      <c r="E24" s="22" t="s">
        <v>206</v>
      </c>
      <c r="F24" s="23">
        <f>F22*L23</f>
        <v>3.3</v>
      </c>
      <c r="G24" s="11"/>
    </row>
    <row r="25" spans="1:12" ht="18.75" x14ac:dyDescent="0.3">
      <c r="A25" s="9"/>
      <c r="B25" s="10"/>
      <c r="C25" s="10"/>
      <c r="D25" s="10"/>
      <c r="E25" s="24" t="s">
        <v>207</v>
      </c>
      <c r="F25" s="25">
        <f>F22+F23-F24</f>
        <v>22</v>
      </c>
      <c r="G25" s="11"/>
    </row>
    <row r="26" spans="1:12" x14ac:dyDescent="0.25">
      <c r="A26" s="9"/>
      <c r="B26" s="10"/>
      <c r="C26" s="10"/>
      <c r="D26" s="10"/>
      <c r="E26" s="10"/>
      <c r="F26" s="10"/>
      <c r="G26" s="11"/>
    </row>
    <row r="27" spans="1:12" x14ac:dyDescent="0.25">
      <c r="A27" s="9"/>
      <c r="B27" s="10"/>
      <c r="C27" s="10"/>
      <c r="D27" s="10"/>
      <c r="E27" s="10"/>
      <c r="F27" s="10"/>
      <c r="G27" s="11"/>
    </row>
    <row r="28" spans="1:12" x14ac:dyDescent="0.25">
      <c r="A28" s="9"/>
      <c r="B28" s="15"/>
      <c r="C28" s="10"/>
      <c r="D28" s="10"/>
      <c r="E28" s="10"/>
      <c r="F28" s="10"/>
      <c r="G28" s="11"/>
    </row>
    <row r="29" spans="1:12" x14ac:dyDescent="0.25">
      <c r="A29" s="9"/>
      <c r="B29" s="31" t="s">
        <v>208</v>
      </c>
      <c r="C29" s="31"/>
      <c r="D29" s="10"/>
      <c r="E29" s="31" t="s">
        <v>209</v>
      </c>
      <c r="F29" s="31"/>
      <c r="G29" s="11"/>
    </row>
    <row r="30" spans="1:12" x14ac:dyDescent="0.25">
      <c r="A30" s="9"/>
      <c r="B30" s="10"/>
      <c r="C30" s="10"/>
      <c r="D30" s="10"/>
      <c r="E30" s="10"/>
      <c r="F30" s="10"/>
      <c r="G30" s="11"/>
    </row>
    <row r="31" spans="1:12" x14ac:dyDescent="0.25">
      <c r="A31" s="16"/>
      <c r="B31" s="15"/>
      <c r="C31" s="15"/>
      <c r="D31" s="15"/>
      <c r="E31" s="15"/>
      <c r="F31" s="15"/>
      <c r="G31" s="17"/>
    </row>
  </sheetData>
  <mergeCells count="6">
    <mergeCell ref="E29:F29"/>
    <mergeCell ref="C1:D1"/>
    <mergeCell ref="C2:D2"/>
    <mergeCell ref="C3:D3"/>
    <mergeCell ref="C4:D4"/>
    <mergeCell ref="B29:C29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</vt:lpstr>
      <vt:lpstr>clientes</vt:lpstr>
      <vt:lpstr>proveedor</vt:lpstr>
      <vt:lpstr>factura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Amin Flores</cp:lastModifiedBy>
  <cp:revision/>
  <dcterms:created xsi:type="dcterms:W3CDTF">2025-10-25T19:10:59Z</dcterms:created>
  <dcterms:modified xsi:type="dcterms:W3CDTF">2025-10-26T14:18:08Z</dcterms:modified>
  <cp:category/>
  <cp:contentStatus/>
</cp:coreProperties>
</file>